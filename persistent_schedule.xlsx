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ungk\Desktop\"/>
    </mc:Choice>
  </mc:AlternateContent>
  <xr:revisionPtr revIDLastSave="0" documentId="13_ncr:1_{165DAD46-1F52-4AAD-9CF6-2FBEA987EB90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roomNum" sheetId="1" r:id="rId1"/>
    <sheet name="roomList" sheetId="2" r:id="rId2"/>
    <sheet name="Sched" sheetId="3" r:id="rId3"/>
  </sheets>
  <definedNames>
    <definedName name="_xlnm.Criteria" localSheetId="1">roomList!$A$3</definedName>
    <definedName name="_xlnm.Extract" localSheetId="1">roomList!$C$3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 a="1"/>
  <c r="C13" i="2" s="1"/>
  <c r="C12" i="2" a="1"/>
  <c r="C12" i="2" s="1"/>
  <c r="C11" i="2" a="1"/>
  <c r="C11" i="2" s="1"/>
  <c r="C10" i="2" a="1"/>
  <c r="C10" i="2" s="1"/>
  <c r="C9" i="2" a="1"/>
  <c r="C9" i="2" s="1"/>
  <c r="C8" i="2" a="1"/>
  <c r="C8" i="2" s="1"/>
  <c r="C7" i="2" a="1"/>
  <c r="C7" i="2" s="1"/>
  <c r="C6" i="2" a="1"/>
  <c r="C6" i="2" s="1"/>
  <c r="C5" i="2" a="1"/>
  <c r="C5" i="2" s="1"/>
  <c r="C2" i="2" a="1"/>
  <c r="C2" i="2" s="1"/>
  <c r="C4" i="2" a="1"/>
  <c r="C4" i="2" s="1"/>
  <c r="C3" i="2" a="1"/>
  <c r="C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<sst xmlns="http://schemas.openxmlformats.org/spreadsheetml/2006/main" count="44" uniqueCount="32">
  <si>
    <t>7/F</t>
  </si>
  <si>
    <t>8/F</t>
  </si>
  <si>
    <t>9/F</t>
  </si>
  <si>
    <t>10/F</t>
  </si>
  <si>
    <t>11/F</t>
  </si>
  <si>
    <t>12/F</t>
  </si>
  <si>
    <t>13/F</t>
  </si>
  <si>
    <t>14/F</t>
  </si>
  <si>
    <t>15/F</t>
  </si>
  <si>
    <t>16/F</t>
  </si>
  <si>
    <t>17/F</t>
  </si>
  <si>
    <t>18/F</t>
  </si>
  <si>
    <t>19/F</t>
  </si>
  <si>
    <t>phone number</t>
  </si>
  <si>
    <t>room</t>
  </si>
  <si>
    <t>RA Name</t>
  </si>
  <si>
    <t>Alex</t>
  </si>
  <si>
    <t>Gowri</t>
  </si>
  <si>
    <t>Duygu</t>
  </si>
  <si>
    <t>Anu</t>
  </si>
  <si>
    <t>Justine</t>
  </si>
  <si>
    <t>Apsara</t>
  </si>
  <si>
    <t>Barsha</t>
  </si>
  <si>
    <t>Balley</t>
  </si>
  <si>
    <t>Uma</t>
  </si>
  <si>
    <t>Kalpana</t>
  </si>
  <si>
    <t>Darman</t>
  </si>
  <si>
    <t>Jude</t>
  </si>
  <si>
    <t>Jacky</t>
  </si>
  <si>
    <t>Gustavo</t>
  </si>
  <si>
    <t>Rover</t>
  </si>
  <si>
    <t>Hannia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</si>
</sst>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b val="0"/>
        <i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F1" zoomScale="115" zoomScaleNormal="115" workbookViewId="0">
      <selection activeCell="K3" sqref="K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701</v>
      </c>
      <c r="B2">
        <v>801</v>
      </c>
      <c r="C2">
        <v>901</v>
      </c>
      <c r="D2">
        <v>1001</v>
      </c>
      <c r="E2">
        <v>1101</v>
      </c>
      <c r="F2">
        <v>1201</v>
      </c>
      <c r="G2">
        <v>1301</v>
      </c>
      <c r="H2">
        <v>1401</v>
      </c>
      <c r="I2">
        <v>1501</v>
      </c>
      <c r="J2">
        <v>1601</v>
      </c>
      <c r="K2">
        <v>1701</v>
      </c>
      <c r="L2">
        <v>1801</v>
      </c>
      <c r="M2">
        <v>1901</v>
      </c>
    </row>
    <row r="3" spans="1:13" x14ac:dyDescent="0.45">
      <c r="A3">
        <v>702</v>
      </c>
      <c r="B3">
        <v>802</v>
      </c>
      <c r="C3">
        <v>902</v>
      </c>
      <c r="D3">
        <v>1002</v>
      </c>
      <c r="E3">
        <v>1102</v>
      </c>
      <c r="F3">
        <v>1202</v>
      </c>
      <c r="G3">
        <v>1302</v>
      </c>
      <c r="H3">
        <v>1402</v>
      </c>
      <c r="I3">
        <v>1502</v>
      </c>
      <c r="J3">
        <v>1602</v>
      </c>
      <c r="K3">
        <v>1702</v>
      </c>
      <c r="L3">
        <v>1802</v>
      </c>
      <c r="M3">
        <v>1902</v>
      </c>
    </row>
    <row r="4" spans="1:13" x14ac:dyDescent="0.45">
      <c r="A4">
        <v>703</v>
      </c>
      <c r="B4">
        <v>803</v>
      </c>
      <c r="C4">
        <v>903</v>
      </c>
      <c r="D4">
        <v>1003</v>
      </c>
      <c r="E4">
        <v>1103</v>
      </c>
      <c r="F4">
        <v>1203</v>
      </c>
      <c r="G4">
        <v>1303</v>
      </c>
      <c r="H4">
        <v>1403</v>
      </c>
      <c r="I4">
        <v>1503</v>
      </c>
      <c r="J4">
        <v>1603</v>
      </c>
      <c r="K4">
        <v>1703</v>
      </c>
      <c r="L4">
        <v>1803</v>
      </c>
      <c r="M4">
        <v>1903</v>
      </c>
    </row>
    <row r="5" spans="1:13" x14ac:dyDescent="0.45">
      <c r="A5">
        <v>704</v>
      </c>
      <c r="B5">
        <v>804</v>
      </c>
      <c r="C5">
        <v>904</v>
      </c>
      <c r="D5">
        <v>1004</v>
      </c>
      <c r="E5">
        <v>1104</v>
      </c>
      <c r="F5">
        <v>1204</v>
      </c>
      <c r="G5">
        <v>1304</v>
      </c>
      <c r="H5">
        <v>1404</v>
      </c>
      <c r="I5">
        <v>1504</v>
      </c>
      <c r="J5">
        <v>1604</v>
      </c>
      <c r="K5">
        <v>1704</v>
      </c>
      <c r="L5">
        <v>1804</v>
      </c>
      <c r="M5">
        <v>1904</v>
      </c>
    </row>
    <row r="6" spans="1:13" x14ac:dyDescent="0.45">
      <c r="A6">
        <v>705</v>
      </c>
      <c r="B6">
        <v>805</v>
      </c>
      <c r="C6">
        <v>905</v>
      </c>
      <c r="D6">
        <v>1005</v>
      </c>
      <c r="E6">
        <v>1105</v>
      </c>
      <c r="F6">
        <v>1205</v>
      </c>
      <c r="G6">
        <v>1305</v>
      </c>
      <c r="H6">
        <v>1405</v>
      </c>
      <c r="I6">
        <v>1505</v>
      </c>
      <c r="J6">
        <v>1605</v>
      </c>
      <c r="K6">
        <v>1705</v>
      </c>
      <c r="L6">
        <v>1805</v>
      </c>
      <c r="M6">
        <v>1905</v>
      </c>
    </row>
    <row r="7" spans="1:13" x14ac:dyDescent="0.45">
      <c r="A7">
        <v>706</v>
      </c>
      <c r="B7">
        <v>806</v>
      </c>
      <c r="C7">
        <v>906</v>
      </c>
      <c r="D7">
        <v>1006</v>
      </c>
      <c r="E7">
        <v>1106</v>
      </c>
      <c r="F7">
        <v>1206</v>
      </c>
      <c r="G7">
        <v>1306</v>
      </c>
      <c r="H7">
        <v>1406</v>
      </c>
      <c r="I7">
        <v>1506</v>
      </c>
      <c r="J7">
        <v>1606</v>
      </c>
      <c r="K7">
        <v>1706</v>
      </c>
      <c r="L7">
        <v>1806</v>
      </c>
      <c r="M7">
        <v>1906</v>
      </c>
    </row>
    <row r="8" spans="1:13" x14ac:dyDescent="0.45">
      <c r="A8">
        <v>707</v>
      </c>
      <c r="B8">
        <v>807</v>
      </c>
      <c r="C8">
        <v>907</v>
      </c>
      <c r="D8">
        <v>1007</v>
      </c>
      <c r="E8">
        <v>1107</v>
      </c>
      <c r="F8">
        <v>1207</v>
      </c>
      <c r="G8">
        <v>1307</v>
      </c>
      <c r="H8">
        <v>1407</v>
      </c>
      <c r="I8">
        <v>1507</v>
      </c>
      <c r="J8">
        <v>1607</v>
      </c>
      <c r="K8">
        <v>1707</v>
      </c>
      <c r="L8">
        <v>1807</v>
      </c>
      <c r="M8">
        <v>1907</v>
      </c>
    </row>
    <row r="9" spans="1:13" x14ac:dyDescent="0.45">
      <c r="A9">
        <v>708</v>
      </c>
      <c r="B9">
        <v>808</v>
      </c>
      <c r="C9">
        <v>908</v>
      </c>
      <c r="D9">
        <v>1008</v>
      </c>
      <c r="E9">
        <v>1108</v>
      </c>
      <c r="F9">
        <v>1208</v>
      </c>
      <c r="G9">
        <v>1308</v>
      </c>
      <c r="H9">
        <v>1408</v>
      </c>
      <c r="I9">
        <v>1508</v>
      </c>
      <c r="J9">
        <v>1608</v>
      </c>
      <c r="K9">
        <v>1708</v>
      </c>
      <c r="L9">
        <v>1808</v>
      </c>
      <c r="M9">
        <v>1908</v>
      </c>
    </row>
    <row r="10" spans="1:13" x14ac:dyDescent="0.45">
      <c r="A10">
        <v>709</v>
      </c>
      <c r="B10">
        <v>809</v>
      </c>
      <c r="C10">
        <v>909</v>
      </c>
      <c r="D10">
        <v>1009</v>
      </c>
      <c r="E10">
        <v>1109</v>
      </c>
      <c r="F10">
        <v>1209</v>
      </c>
      <c r="G10">
        <v>1309</v>
      </c>
      <c r="H10">
        <v>1409</v>
      </c>
      <c r="I10">
        <v>1509</v>
      </c>
      <c r="J10">
        <v>1609</v>
      </c>
      <c r="K10">
        <v>1709</v>
      </c>
      <c r="L10">
        <v>1809</v>
      </c>
    </row>
    <row r="11" spans="1:13" x14ac:dyDescent="0.45">
      <c r="A11">
        <v>710</v>
      </c>
      <c r="B11">
        <v>810</v>
      </c>
      <c r="C11">
        <v>910</v>
      </c>
      <c r="D11">
        <v>1010</v>
      </c>
      <c r="E11">
        <v>1110</v>
      </c>
      <c r="F11">
        <v>1210</v>
      </c>
      <c r="G11">
        <v>1310</v>
      </c>
      <c r="H11">
        <v>1410</v>
      </c>
      <c r="I11">
        <v>1510</v>
      </c>
      <c r="J11">
        <v>1610</v>
      </c>
      <c r="K11">
        <v>1710</v>
      </c>
      <c r="L11">
        <v>1810</v>
      </c>
      <c r="M11">
        <v>1910</v>
      </c>
    </row>
    <row r="12" spans="1:13" x14ac:dyDescent="0.45">
      <c r="A12">
        <v>711</v>
      </c>
      <c r="B12">
        <v>811</v>
      </c>
      <c r="C12">
        <v>911</v>
      </c>
      <c r="D12">
        <v>1011</v>
      </c>
      <c r="E12">
        <v>1111</v>
      </c>
      <c r="F12">
        <v>1211</v>
      </c>
      <c r="G12">
        <v>1311</v>
      </c>
      <c r="H12">
        <v>1411</v>
      </c>
      <c r="I12">
        <v>1511</v>
      </c>
      <c r="J12">
        <v>1611</v>
      </c>
      <c r="K12">
        <v>1711</v>
      </c>
      <c r="L12">
        <v>1811</v>
      </c>
      <c r="M12">
        <v>1911</v>
      </c>
    </row>
    <row r="13" spans="1:13" x14ac:dyDescent="0.45">
      <c r="A13">
        <v>712</v>
      </c>
      <c r="B13">
        <v>812</v>
      </c>
      <c r="C13">
        <v>912</v>
      </c>
      <c r="D13">
        <v>1012</v>
      </c>
      <c r="E13">
        <v>1112</v>
      </c>
      <c r="F13">
        <v>1212</v>
      </c>
      <c r="G13">
        <v>1312</v>
      </c>
      <c r="H13">
        <v>1412</v>
      </c>
      <c r="I13">
        <v>1512</v>
      </c>
      <c r="J13">
        <v>1612</v>
      </c>
      <c r="K13">
        <v>1712</v>
      </c>
      <c r="L13">
        <v>1812</v>
      </c>
      <c r="M13">
        <v>1912</v>
      </c>
    </row>
    <row r="14" spans="1:13" x14ac:dyDescent="0.45">
      <c r="A14">
        <v>713</v>
      </c>
      <c r="B14">
        <v>813</v>
      </c>
      <c r="C14">
        <v>913</v>
      </c>
      <c r="D14">
        <v>1013</v>
      </c>
      <c r="E14">
        <v>1113</v>
      </c>
      <c r="F14">
        <v>1213</v>
      </c>
      <c r="G14">
        <v>1313</v>
      </c>
      <c r="H14">
        <v>1413</v>
      </c>
      <c r="I14">
        <v>1513</v>
      </c>
      <c r="J14">
        <v>1613</v>
      </c>
      <c r="K14">
        <v>1713</v>
      </c>
      <c r="L14">
        <v>1813</v>
      </c>
      <c r="M14">
        <v>1913</v>
      </c>
    </row>
    <row r="15" spans="1:13" x14ac:dyDescent="0.45">
      <c r="A15">
        <v>714</v>
      </c>
      <c r="B15">
        <v>814</v>
      </c>
      <c r="C15">
        <v>914</v>
      </c>
      <c r="D15">
        <v>1014</v>
      </c>
      <c r="E15">
        <v>1114</v>
      </c>
      <c r="F15">
        <v>1214</v>
      </c>
      <c r="G15">
        <v>1314</v>
      </c>
      <c r="H15">
        <v>1414</v>
      </c>
      <c r="I15">
        <v>1514</v>
      </c>
      <c r="J15">
        <v>1614</v>
      </c>
      <c r="K15">
        <v>1714</v>
      </c>
      <c r="L15">
        <v>1814</v>
      </c>
      <c r="M15">
        <v>1914</v>
      </c>
    </row>
    <row r="16" spans="1:13" x14ac:dyDescent="0.45">
      <c r="A16">
        <v>715</v>
      </c>
      <c r="B16">
        <v>815</v>
      </c>
      <c r="C16">
        <v>915</v>
      </c>
      <c r="D16">
        <v>1015</v>
      </c>
      <c r="E16">
        <v>1115</v>
      </c>
      <c r="F16">
        <v>1215</v>
      </c>
      <c r="G16">
        <v>1315</v>
      </c>
      <c r="H16">
        <v>1415</v>
      </c>
      <c r="I16">
        <v>1515</v>
      </c>
      <c r="J16">
        <v>1615</v>
      </c>
      <c r="K16">
        <v>1715</v>
      </c>
      <c r="L16">
        <v>1815</v>
      </c>
      <c r="M16">
        <v>1915</v>
      </c>
    </row>
    <row r="17" spans="1:13" x14ac:dyDescent="0.45">
      <c r="A17">
        <v>716</v>
      </c>
      <c r="B17">
        <v>816</v>
      </c>
      <c r="C17">
        <v>916</v>
      </c>
      <c r="D17">
        <v>1016</v>
      </c>
      <c r="E17">
        <v>1116</v>
      </c>
      <c r="F17">
        <v>1216</v>
      </c>
      <c r="G17">
        <v>1316</v>
      </c>
      <c r="H17">
        <v>1416</v>
      </c>
      <c r="I17">
        <v>1516</v>
      </c>
      <c r="J17">
        <v>1616</v>
      </c>
      <c r="K17">
        <v>1716</v>
      </c>
      <c r="L17">
        <v>1816</v>
      </c>
      <c r="M17">
        <v>1916</v>
      </c>
    </row>
    <row r="18" spans="1:13" x14ac:dyDescent="0.45">
      <c r="A18">
        <v>717</v>
      </c>
      <c r="B18">
        <v>817</v>
      </c>
      <c r="C18">
        <v>917</v>
      </c>
      <c r="D18">
        <v>1017</v>
      </c>
      <c r="E18">
        <v>1117</v>
      </c>
      <c r="F18">
        <v>1217</v>
      </c>
      <c r="G18">
        <v>1317</v>
      </c>
      <c r="H18">
        <v>1417</v>
      </c>
      <c r="I18">
        <v>1517</v>
      </c>
      <c r="J18">
        <v>1617</v>
      </c>
      <c r="K18">
        <v>1717</v>
      </c>
      <c r="L18">
        <v>1817</v>
      </c>
      <c r="M18">
        <v>1917</v>
      </c>
    </row>
    <row r="19" spans="1:13" x14ac:dyDescent="0.45">
      <c r="A19">
        <v>718</v>
      </c>
      <c r="B19">
        <v>818</v>
      </c>
      <c r="C19">
        <v>918</v>
      </c>
      <c r="D19">
        <v>1018</v>
      </c>
      <c r="E19">
        <v>1118</v>
      </c>
      <c r="F19">
        <v>1218</v>
      </c>
      <c r="G19">
        <v>1318</v>
      </c>
      <c r="H19">
        <v>1418</v>
      </c>
      <c r="I19">
        <v>1518</v>
      </c>
      <c r="J19">
        <v>1618</v>
      </c>
      <c r="K19">
        <v>1718</v>
      </c>
      <c r="L19">
        <v>1818</v>
      </c>
      <c r="M19">
        <v>1918</v>
      </c>
    </row>
    <row r="20" spans="1:13" x14ac:dyDescent="0.45">
      <c r="A20">
        <v>719</v>
      </c>
      <c r="B20">
        <v>819</v>
      </c>
      <c r="C20">
        <v>919</v>
      </c>
      <c r="D20">
        <v>1019</v>
      </c>
      <c r="E20">
        <v>1119</v>
      </c>
      <c r="F20">
        <v>1219</v>
      </c>
      <c r="G20">
        <v>1319</v>
      </c>
      <c r="H20">
        <v>1419</v>
      </c>
      <c r="I20">
        <v>1519</v>
      </c>
      <c r="J20">
        <v>1619</v>
      </c>
      <c r="K20">
        <v>1719</v>
      </c>
      <c r="L20">
        <v>1819</v>
      </c>
      <c r="M20">
        <v>1919</v>
      </c>
    </row>
    <row r="21" spans="1:13" x14ac:dyDescent="0.45">
      <c r="A21">
        <v>720</v>
      </c>
      <c r="B21">
        <v>820</v>
      </c>
      <c r="C21">
        <v>920</v>
      </c>
      <c r="D21">
        <v>1020</v>
      </c>
      <c r="E21">
        <v>1120</v>
      </c>
      <c r="F21">
        <v>1220</v>
      </c>
      <c r="G21">
        <v>1320</v>
      </c>
      <c r="H21">
        <v>1420</v>
      </c>
      <c r="I21">
        <v>1520</v>
      </c>
      <c r="J21">
        <v>1620</v>
      </c>
      <c r="K21">
        <v>1720</v>
      </c>
      <c r="L21">
        <v>1820</v>
      </c>
      <c r="M21">
        <v>1920</v>
      </c>
    </row>
    <row r="22" spans="1:13" x14ac:dyDescent="0.45">
      <c r="A22">
        <v>721</v>
      </c>
      <c r="B22">
        <v>821</v>
      </c>
      <c r="C22">
        <v>921</v>
      </c>
      <c r="D22">
        <v>1021</v>
      </c>
      <c r="E22">
        <v>1121</v>
      </c>
      <c r="F22">
        <v>1221</v>
      </c>
      <c r="G22">
        <v>1321</v>
      </c>
      <c r="H22">
        <v>1421</v>
      </c>
      <c r="I22">
        <v>1521</v>
      </c>
      <c r="J22">
        <v>1621</v>
      </c>
      <c r="K22">
        <v>1721</v>
      </c>
      <c r="L22">
        <v>1821</v>
      </c>
      <c r="M22">
        <v>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07CB-C67E-4C69-B3B3-746A73826D8B}">
  <dimension ref="A1:X13"/>
  <sheetViews>
    <sheetView tabSelected="1" workbookViewId="0">
      <selection activeCell="C19" sqref="C19"/>
    </sheetView>
  </sheetViews>
  <sheetFormatPr defaultRowHeight="14.25" x14ac:dyDescent="0.45"/>
  <cols>
    <col min="2" max="2" width="19.33203125" customWidth="1"/>
    <col min="3" max="3" width="18.46484375" customWidth="1"/>
  </cols>
  <sheetData>
    <row r="1" spans="1:24" x14ac:dyDescent="0.45">
      <c r="A1" t="s">
        <v>15</v>
      </c>
      <c r="B1" t="s">
        <v>13</v>
      </c>
      <c r="C1" t="s">
        <v>14</v>
      </c>
    </row>
    <row r="2" spans="1:24" x14ac:dyDescent="0.45">
      <c r="A2" t="s">
        <v>16</v>
      </c>
      <c r="B2">
        <v>17826410444</v>
      </c>
      <c r="C2" s="1" t="str" cm="1">
        <f t="array" ref="C2:X2">_xlfn.TAKE(TRANSPOSE(_xlfn._xlws.FILTER(IF(Sched!B23:L23="Alex", Sched!B23:L44, Sched!B1:L44), (Sched!B1:L1="Alex") + (Sched!B23:L23="Alex"))), , 22)</f>
        <v>Alex</v>
      </c>
      <c r="D2">
        <v>1808</v>
      </c>
      <c r="E2">
        <v>1821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1814</v>
      </c>
    </row>
    <row r="3" spans="1:24" x14ac:dyDescent="0.45">
      <c r="A3" t="s">
        <v>17</v>
      </c>
      <c r="B3">
        <v>19029891436</v>
      </c>
      <c r="C3" s="1" t="str" cm="1">
        <f t="array" ref="C3:X3">_xlfn.TAKE(TRANSPOSE(_xlfn._xlws.FILTER(Sched!B1:L44,Sched!B1:L1="Gowri")),, 22)</f>
        <v>Gowri</v>
      </c>
      <c r="D3">
        <v>711</v>
      </c>
      <c r="E3">
        <v>712</v>
      </c>
      <c r="F3">
        <v>715</v>
      </c>
      <c r="G3">
        <v>717</v>
      </c>
      <c r="H3">
        <v>0</v>
      </c>
      <c r="I3">
        <v>0</v>
      </c>
      <c r="J3">
        <v>1111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721</v>
      </c>
    </row>
    <row r="4" spans="1:24" x14ac:dyDescent="0.45">
      <c r="A4" t="s">
        <v>18</v>
      </c>
      <c r="B4">
        <v>345243113</v>
      </c>
      <c r="C4" t="str" cm="1">
        <f t="array" ref="C4:X4">_xlfn.TAKE(TRANSPOSE(_xlfn._xlws.FILTER(IF(Sched!B23:L23="Duygu", Sched!B23:L44, Sched!B1:L44), (Sched!B1:L1="Duygu") + (Sched!B23:L23="Duygu"))), , 22)</f>
        <v>Duygu</v>
      </c>
      <c r="D4">
        <v>802</v>
      </c>
      <c r="E4">
        <v>803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810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806</v>
      </c>
    </row>
    <row r="5" spans="1:24" x14ac:dyDescent="0.45">
      <c r="A5" t="s">
        <v>27</v>
      </c>
      <c r="B5">
        <v>234</v>
      </c>
      <c r="C5" t="str" cm="1">
        <f t="array" ref="C5:X5">_xlfn.TAKE(TRANSPOSE(_xlfn._xlws.FILTER(IF(Sched!B23:L23="Jude", Sched!B23:L44, Sched!B1:L44), (Sched!B1:L1="Jude") + (Sched!B23:L23="Jude"))), , 22)</f>
        <v>Jude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1121</v>
      </c>
    </row>
    <row r="6" spans="1:24" x14ac:dyDescent="0.45">
      <c r="A6" t="s">
        <v>24</v>
      </c>
      <c r="B6">
        <v>78</v>
      </c>
      <c r="C6" t="str" cm="1">
        <f t="array" ref="C6:X6">_xlfn.TAKE(TRANSPOSE(_xlfn._xlws.FILTER(IF(Sched!B23:L23="Uma", Sched!B23:L44, Sched!B1:L44), (Sched!B1:L1="Uma") + (Sched!B23:L23="Uma"))), , 22)</f>
        <v>Uma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20</v>
      </c>
      <c r="B7">
        <v>87665</v>
      </c>
      <c r="C7" t="str" cm="1">
        <f t="array" ref="C7:X7">_xlfn.TAKE(TRANSPOSE(_xlfn._xlws.FILTER(IF(Sched!B23:L23="Justine", Sched!B23:L44, Sched!B1:L44), (Sched!B1:L1="Justine") + (Sched!B23:L23="Justine"))), , 22)</f>
        <v>Justine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45">
      <c r="A8" t="s">
        <v>21</v>
      </c>
      <c r="B8">
        <v>123221</v>
      </c>
      <c r="C8" t="str" cm="1">
        <f t="array" ref="C8:X8">_xlfn.TAKE(TRANSPOSE(_xlfn._xlws.FILTER(IF(Sched!B23:L23="Apsara", Sched!B23:L44, Sched!B1:L44), (Sched!B1:L1="Apsara") + (Sched!B23:L23="Apsara"))), , 22)</f>
        <v>Apsara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31</v>
      </c>
      <c r="B9">
        <v>99776</v>
      </c>
      <c r="C9" t="str" cm="1">
        <f t="array" ref="C9:X9">_xlfn.TAKE(TRANSPOSE(_xlfn._xlws.FILTER(IF(Sched!B23:L23="Hannia", Sched!B23:L44, Sched!B1:L44), (Sched!B1:L1="Hannia") + (Sched!B23:L23="Hannia"))), , 22)</f>
        <v>Hannia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45">
      <c r="A10" t="s">
        <v>23</v>
      </c>
      <c r="B10">
        <v>112234</v>
      </c>
      <c r="C10" t="str" cm="1">
        <f t="array" ref="C10:X10">_xlfn.TAKE(TRANSPOSE(_xlfn._xlws.FILTER(IF(Sched!B23:L23="Balley", Sched!B23:L44, Sched!B1:L44), (Sched!B1:L1="Balley") + (Sched!B23:L23="Balley"))), , 22)</f>
        <v>Balley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45">
      <c r="A11" t="s">
        <v>25</v>
      </c>
      <c r="B11">
        <v>9789731</v>
      </c>
      <c r="C11" t="str" cm="1">
        <f t="array" ref="C11:X11">_xlfn.TAKE(TRANSPOSE(_xlfn._xlws.FILTER(IF(Sched!B23:L23="Kalpana", Sched!B23:L44, Sched!B1:L44), (Sched!B1:L1="Kalpana") + (Sched!B23:L23="Kalpana"))), , 22)</f>
        <v>Kalpana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45">
      <c r="A12" t="s">
        <v>29</v>
      </c>
      <c r="B12">
        <v>323445632</v>
      </c>
      <c r="C12" t="str" cm="1">
        <f t="array" ref="C12:X12">_xlfn.TAKE(TRANSPOSE(_xlfn._xlws.FILTER(IF(Sched!B23:L23="Gustavo", Sched!B23:L44, Sched!B1:L44), (Sched!B1:L1="Gustavo") + (Sched!B23:L23="Gustavo"))), , 22)</f>
        <v>Gustavo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45">
      <c r="A13" t="s">
        <v>19</v>
      </c>
      <c r="B13">
        <v>68645736</v>
      </c>
      <c r="C13" t="str" cm="1">
        <f t="array" ref="C13:X13">_xlfn.TAKE(TRANSPOSE(_xlfn._xlws.FILTER(IF(Sched!B23:L23="Anu", Sched!B23:L44, Sched!B1:L44), (Sched!B1:L1="Anu") + (Sched!B23:L23="Anu"))), , 22)</f>
        <v>Anu</v>
      </c>
      <c r="D13">
        <v>811</v>
      </c>
      <c r="E13">
        <v>812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820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93D4-0242-441A-8ADC-093987D83542}">
  <dimension ref="A1:L44"/>
  <sheetViews>
    <sheetView zoomScale="115" zoomScaleNormal="115" workbookViewId="0">
      <selection activeCell="G14" sqref="G14"/>
    </sheetView>
  </sheetViews>
  <sheetFormatPr defaultRowHeight="14.25" x14ac:dyDescent="0.45"/>
  <sheetData>
    <row r="1" spans="1:12" x14ac:dyDescent="0.45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16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45">
      <c r="A2">
        <v>1</v>
      </c>
      <c r="B2">
        <v>711</v>
      </c>
      <c r="C2">
        <v>802</v>
      </c>
      <c r="D2">
        <v>811</v>
      </c>
      <c r="G2">
        <v>1808</v>
      </c>
    </row>
    <row r="3" spans="1:12" x14ac:dyDescent="0.45">
      <c r="A3">
        <v>2</v>
      </c>
      <c r="B3">
        <v>712</v>
      </c>
      <c r="C3">
        <v>803</v>
      </c>
      <c r="D3">
        <v>812</v>
      </c>
      <c r="G3">
        <v>1821</v>
      </c>
    </row>
    <row r="4" spans="1:12" x14ac:dyDescent="0.45">
      <c r="A4">
        <v>3</v>
      </c>
      <c r="B4">
        <v>715</v>
      </c>
    </row>
    <row r="5" spans="1:12" x14ac:dyDescent="0.45">
      <c r="A5">
        <v>4</v>
      </c>
      <c r="B5">
        <v>717</v>
      </c>
    </row>
    <row r="6" spans="1:12" x14ac:dyDescent="0.45">
      <c r="A6">
        <v>5</v>
      </c>
    </row>
    <row r="7" spans="1:12" x14ac:dyDescent="0.45">
      <c r="A7">
        <v>6</v>
      </c>
    </row>
    <row r="8" spans="1:12" x14ac:dyDescent="0.45">
      <c r="A8">
        <v>7</v>
      </c>
      <c r="B8">
        <v>1111</v>
      </c>
    </row>
    <row r="9" spans="1:12" x14ac:dyDescent="0.45">
      <c r="A9">
        <v>8</v>
      </c>
    </row>
    <row r="10" spans="1:12" x14ac:dyDescent="0.45">
      <c r="A10">
        <v>9</v>
      </c>
    </row>
    <row r="11" spans="1:12" x14ac:dyDescent="0.45">
      <c r="A11">
        <v>10</v>
      </c>
    </row>
    <row r="12" spans="1:12" x14ac:dyDescent="0.45">
      <c r="A12">
        <v>11</v>
      </c>
      <c r="C12">
        <v>810</v>
      </c>
      <c r="D12">
        <v>820</v>
      </c>
    </row>
    <row r="13" spans="1:12" x14ac:dyDescent="0.45">
      <c r="A13">
        <v>12</v>
      </c>
    </row>
    <row r="14" spans="1:12" x14ac:dyDescent="0.45">
      <c r="A14">
        <v>13</v>
      </c>
    </row>
    <row r="15" spans="1:12" x14ac:dyDescent="0.45">
      <c r="A15">
        <v>14</v>
      </c>
    </row>
    <row r="16" spans="1:12" x14ac:dyDescent="0.45">
      <c r="A16">
        <v>15</v>
      </c>
    </row>
    <row r="17" spans="1:7" x14ac:dyDescent="0.45">
      <c r="A17">
        <v>16</v>
      </c>
    </row>
    <row r="18" spans="1:7" x14ac:dyDescent="0.45">
      <c r="A18">
        <v>17</v>
      </c>
    </row>
    <row r="19" spans="1:7" x14ac:dyDescent="0.45">
      <c r="A19">
        <v>18</v>
      </c>
    </row>
    <row r="20" spans="1:7" x14ac:dyDescent="0.45">
      <c r="A20">
        <v>19</v>
      </c>
    </row>
    <row r="21" spans="1:7" x14ac:dyDescent="0.45">
      <c r="A21">
        <v>20</v>
      </c>
    </row>
    <row r="22" spans="1:7" x14ac:dyDescent="0.45">
      <c r="A22">
        <v>21</v>
      </c>
      <c r="B22">
        <v>721</v>
      </c>
      <c r="C22">
        <v>806</v>
      </c>
      <c r="D22">
        <v>907</v>
      </c>
      <c r="G22">
        <v>1814</v>
      </c>
    </row>
    <row r="23" spans="1:7" x14ac:dyDescent="0.45">
      <c r="B23" t="s">
        <v>27</v>
      </c>
      <c r="C23" t="s">
        <v>28</v>
      </c>
      <c r="D23" t="s">
        <v>29</v>
      </c>
      <c r="E23" t="s">
        <v>30</v>
      </c>
      <c r="F23" t="s">
        <v>31</v>
      </c>
    </row>
    <row r="24" spans="1:7" x14ac:dyDescent="0.45">
      <c r="A24">
        <v>1</v>
      </c>
    </row>
    <row r="25" spans="1:7" x14ac:dyDescent="0.45">
      <c r="A25">
        <v>2</v>
      </c>
    </row>
    <row r="26" spans="1:7" x14ac:dyDescent="0.45">
      <c r="A26">
        <v>3</v>
      </c>
    </row>
    <row r="27" spans="1:7" x14ac:dyDescent="0.45">
      <c r="A27">
        <v>4</v>
      </c>
    </row>
    <row r="28" spans="1:7" x14ac:dyDescent="0.45">
      <c r="A28">
        <v>5</v>
      </c>
    </row>
    <row r="29" spans="1:7" x14ac:dyDescent="0.45">
      <c r="A29">
        <v>6</v>
      </c>
    </row>
    <row r="30" spans="1:7" x14ac:dyDescent="0.45">
      <c r="A30">
        <v>7</v>
      </c>
    </row>
    <row r="31" spans="1:7" x14ac:dyDescent="0.45">
      <c r="A31">
        <v>8</v>
      </c>
    </row>
    <row r="32" spans="1:7" x14ac:dyDescent="0.45">
      <c r="A32">
        <v>9</v>
      </c>
    </row>
    <row r="33" spans="1:2" x14ac:dyDescent="0.45">
      <c r="A33">
        <v>10</v>
      </c>
    </row>
    <row r="34" spans="1:2" x14ac:dyDescent="0.45">
      <c r="A34">
        <v>11</v>
      </c>
    </row>
    <row r="35" spans="1:2" x14ac:dyDescent="0.45">
      <c r="A35">
        <v>12</v>
      </c>
    </row>
    <row r="36" spans="1:2" x14ac:dyDescent="0.45">
      <c r="A36">
        <v>13</v>
      </c>
    </row>
    <row r="37" spans="1:2" x14ac:dyDescent="0.45">
      <c r="A37">
        <v>14</v>
      </c>
    </row>
    <row r="38" spans="1:2" x14ac:dyDescent="0.45">
      <c r="A38">
        <v>15</v>
      </c>
    </row>
    <row r="39" spans="1:2" x14ac:dyDescent="0.45">
      <c r="A39">
        <v>16</v>
      </c>
    </row>
    <row r="40" spans="1:2" x14ac:dyDescent="0.45">
      <c r="A40">
        <v>17</v>
      </c>
    </row>
    <row r="41" spans="1:2" x14ac:dyDescent="0.45">
      <c r="A41">
        <v>18</v>
      </c>
    </row>
    <row r="42" spans="1:2" x14ac:dyDescent="0.45">
      <c r="A42">
        <v>19</v>
      </c>
    </row>
    <row r="43" spans="1:2" x14ac:dyDescent="0.45">
      <c r="A43">
        <v>20</v>
      </c>
    </row>
    <row r="44" spans="1:2" x14ac:dyDescent="0.45">
      <c r="A44">
        <v>21</v>
      </c>
      <c r="B44">
        <v>1121</v>
      </c>
    </row>
  </sheetData>
  <conditionalFormatting sqref="B1:L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roomNum</vt:lpstr>
      <vt:lpstr>roomList</vt:lpstr>
      <vt:lpstr>Sched</vt:lpstr>
      <vt:lpstr>roomList!Criteria</vt:lpstr>
      <vt:lpstr>roomList!Extract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yung</dc:creator>
  <cp:lastModifiedBy>alex yung</cp:lastModifiedBy>
  <dcterms:created xsi:type="dcterms:W3CDTF">2015-06-05T18:17:20Z</dcterms:created>
  <dcterms:modified xsi:type="dcterms:W3CDTF">2026-05-14T12:51:07Z</dcterms:modified>
</cp:coreProperties>
</file>
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1" autoFilterDateGrouping="1"/>
  </bookViews>
  <sheets>
    <sheet name="roomNum" sheetId="1" state="visible" r:id="rId1"/>
    <sheet name="roomList" sheetId="2" state="visible" r:id="rId2"/>
    <sheet name="Sch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dxfs count="1">
    <dxf>
      <font>
        <i val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opLeftCell="F1" zoomScale="115" zoomScaleNormal="115" workbookViewId="0">
      <selection activeCell="K3" sqref="K3"/>
    </sheetView>
  </sheetViews>
  <sheetFormatPr baseColWidth="8" defaultRowHeight="14.25"/>
  <sheetData>
    <row r="1">
      <c r="A1" t="inlineStr">
        <is>
          <t>7/F</t>
        </is>
      </c>
      <c r="B1" t="inlineStr">
        <is>
          <t>8/F</t>
        </is>
      </c>
      <c r="C1" t="inlineStr">
        <is>
          <t>9/F</t>
        </is>
      </c>
      <c r="D1" t="inlineStr">
        <is>
          <t>10/F</t>
        </is>
      </c>
      <c r="E1" t="inlineStr">
        <is>
          <t>11/F</t>
        </is>
      </c>
      <c r="F1" t="inlineStr">
        <is>
          <t>12/F</t>
        </is>
      </c>
      <c r="G1" t="inlineStr">
        <is>
          <t>13/F</t>
        </is>
      </c>
      <c r="H1" t="inlineStr">
        <is>
          <t>14/F</t>
        </is>
      </c>
      <c r="I1" t="inlineStr">
        <is>
          <t>15/F</t>
        </is>
      </c>
      <c r="J1" t="inlineStr">
        <is>
          <t>16/F</t>
        </is>
      </c>
      <c r="K1" t="inlineStr">
        <is>
          <t>17/F</t>
        </is>
      </c>
      <c r="L1" t="inlineStr">
        <is>
          <t>18/F</t>
        </is>
      </c>
      <c r="M1" t="inlineStr">
        <is>
          <t>19/F</t>
        </is>
      </c>
    </row>
    <row r="2">
      <c r="A2" t="n">
        <v>701</v>
      </c>
      <c r="B2" t="n">
        <v>801</v>
      </c>
      <c r="C2" t="n">
        <v>901</v>
      </c>
      <c r="D2" t="n">
        <v>1001</v>
      </c>
      <c r="E2" t="n">
        <v>1101</v>
      </c>
      <c r="F2" t="n">
        <v>1201</v>
      </c>
      <c r="G2" t="n">
        <v>1301</v>
      </c>
      <c r="H2" t="n">
        <v>1401</v>
      </c>
      <c r="I2" t="n">
        <v>1501</v>
      </c>
      <c r="J2" t="n">
        <v>1601</v>
      </c>
      <c r="K2" t="n">
        <v>1701</v>
      </c>
      <c r="L2" t="n">
        <v>1801</v>
      </c>
      <c r="M2" t="n">
        <v>1901</v>
      </c>
    </row>
    <row r="3">
      <c r="A3" t="n">
        <v>702</v>
      </c>
      <c r="B3" t="n">
        <v>802</v>
      </c>
      <c r="C3" t="n">
        <v>902</v>
      </c>
      <c r="D3" t="n">
        <v>1002</v>
      </c>
      <c r="E3" t="n">
        <v>1102</v>
      </c>
      <c r="F3" t="n">
        <v>1202</v>
      </c>
      <c r="G3" t="n">
        <v>1302</v>
      </c>
      <c r="H3" t="n">
        <v>1402</v>
      </c>
      <c r="I3" t="n">
        <v>1502</v>
      </c>
      <c r="J3" t="n">
        <v>1602</v>
      </c>
      <c r="K3" t="n">
        <v>1702</v>
      </c>
      <c r="L3" t="n">
        <v>1802</v>
      </c>
      <c r="M3" t="n">
        <v>1902</v>
      </c>
    </row>
    <row r="4">
      <c r="A4" t="n">
        <v>703</v>
      </c>
      <c r="B4" t="n">
        <v>803</v>
      </c>
      <c r="C4" t="n">
        <v>903</v>
      </c>
      <c r="D4" t="n">
        <v>1003</v>
      </c>
      <c r="E4" t="n">
        <v>1103</v>
      </c>
      <c r="F4" t="n">
        <v>1203</v>
      </c>
      <c r="G4" t="n">
        <v>1303</v>
      </c>
      <c r="H4" t="n">
        <v>1403</v>
      </c>
      <c r="I4" t="n">
        <v>1503</v>
      </c>
      <c r="J4" t="n">
        <v>1603</v>
      </c>
      <c r="K4" t="n">
        <v>1703</v>
      </c>
      <c r="L4" t="n">
        <v>1803</v>
      </c>
      <c r="M4" t="n">
        <v>1903</v>
      </c>
    </row>
    <row r="5">
      <c r="A5" t="n">
        <v>704</v>
      </c>
      <c r="B5" t="n">
        <v>804</v>
      </c>
      <c r="C5" t="n">
        <v>904</v>
      </c>
      <c r="D5" t="n">
        <v>1004</v>
      </c>
      <c r="E5" t="n">
        <v>1104</v>
      </c>
      <c r="F5" t="n">
        <v>1204</v>
      </c>
      <c r="G5" t="n">
        <v>1304</v>
      </c>
      <c r="H5" t="n">
        <v>1404</v>
      </c>
      <c r="I5" t="n">
        <v>1504</v>
      </c>
      <c r="J5" t="n">
        <v>1604</v>
      </c>
      <c r="K5" t="n">
        <v>1704</v>
      </c>
      <c r="L5" t="n">
        <v>1804</v>
      </c>
      <c r="M5" t="n">
        <v>1904</v>
      </c>
    </row>
    <row r="6">
      <c r="A6" t="n">
        <v>705</v>
      </c>
      <c r="B6" t="n">
        <v>805</v>
      </c>
      <c r="C6" t="n">
        <v>905</v>
      </c>
      <c r="D6" t="n">
        <v>1005</v>
      </c>
      <c r="E6" t="n">
        <v>1105</v>
      </c>
      <c r="F6" t="n">
        <v>1205</v>
      </c>
      <c r="G6" t="n">
        <v>1305</v>
      </c>
      <c r="H6" t="n">
        <v>1405</v>
      </c>
      <c r="I6" t="n">
        <v>1505</v>
      </c>
      <c r="J6" t="n">
        <v>1605</v>
      </c>
      <c r="K6" t="n">
        <v>1705</v>
      </c>
      <c r="L6" t="n">
        <v>1805</v>
      </c>
      <c r="M6" t="n">
        <v>1905</v>
      </c>
    </row>
    <row r="7">
      <c r="A7" t="n">
        <v>706</v>
      </c>
      <c r="B7" t="n">
        <v>806</v>
      </c>
      <c r="C7" t="n">
        <v>906</v>
      </c>
      <c r="D7" t="n">
        <v>1006</v>
      </c>
      <c r="E7" t="n">
        <v>1106</v>
      </c>
      <c r="F7" t="n">
        <v>1206</v>
      </c>
      <c r="G7" t="n">
        <v>1306</v>
      </c>
      <c r="H7" t="n">
        <v>1406</v>
      </c>
      <c r="I7" t="n">
        <v>1506</v>
      </c>
      <c r="J7" t="n">
        <v>1606</v>
      </c>
      <c r="K7" t="n">
        <v>1706</v>
      </c>
      <c r="L7" t="n">
        <v>1806</v>
      </c>
      <c r="M7" t="n">
        <v>1906</v>
      </c>
    </row>
    <row r="8">
      <c r="A8" t="n">
        <v>707</v>
      </c>
      <c r="B8" t="n">
        <v>807</v>
      </c>
      <c r="C8" t="n">
        <v>907</v>
      </c>
      <c r="D8" t="n">
        <v>1007</v>
      </c>
      <c r="E8" t="n">
        <v>1107</v>
      </c>
      <c r="F8" t="n">
        <v>1207</v>
      </c>
      <c r="G8" t="n">
        <v>1307</v>
      </c>
      <c r="H8" t="n">
        <v>1407</v>
      </c>
      <c r="I8" t="n">
        <v>1507</v>
      </c>
      <c r="J8" t="n">
        <v>1607</v>
      </c>
      <c r="K8" t="n">
        <v>1707</v>
      </c>
      <c r="L8" t="n">
        <v>1807</v>
      </c>
      <c r="M8" t="n">
        <v>1907</v>
      </c>
    </row>
    <row r="9">
      <c r="A9" t="n">
        <v>708</v>
      </c>
      <c r="B9" t="n">
        <v>808</v>
      </c>
      <c r="C9" t="n">
        <v>908</v>
      </c>
      <c r="D9" t="n">
        <v>1008</v>
      </c>
      <c r="E9" t="n">
        <v>1108</v>
      </c>
      <c r="F9" t="n">
        <v>1208</v>
      </c>
      <c r="G9" t="n">
        <v>1308</v>
      </c>
      <c r="H9" t="n">
        <v>1408</v>
      </c>
      <c r="I9" t="n">
        <v>1508</v>
      </c>
      <c r="J9" t="n">
        <v>1608</v>
      </c>
      <c r="K9" t="n">
        <v>1708</v>
      </c>
      <c r="L9" t="n">
        <v>1808</v>
      </c>
      <c r="M9" t="n">
        <v>1908</v>
      </c>
    </row>
    <row r="10">
      <c r="A10" t="n">
        <v>709</v>
      </c>
      <c r="B10" t="n">
        <v>809</v>
      </c>
      <c r="C10" t="n">
        <v>909</v>
      </c>
      <c r="D10" t="n">
        <v>1009</v>
      </c>
      <c r="E10" t="n">
        <v>1109</v>
      </c>
      <c r="F10" t="n">
        <v>1209</v>
      </c>
      <c r="G10" t="n">
        <v>1309</v>
      </c>
      <c r="H10" t="n">
        <v>1409</v>
      </c>
      <c r="I10" t="n">
        <v>1509</v>
      </c>
      <c r="J10" t="n">
        <v>1609</v>
      </c>
      <c r="K10" t="n">
        <v>1709</v>
      </c>
      <c r="L10" t="n">
        <v>1809</v>
      </c>
    </row>
    <row r="11">
      <c r="A11" t="n">
        <v>710</v>
      </c>
      <c r="B11" t="n">
        <v>810</v>
      </c>
      <c r="C11" t="n">
        <v>910</v>
      </c>
      <c r="D11" t="n">
        <v>1010</v>
      </c>
      <c r="E11" t="n">
        <v>1110</v>
      </c>
      <c r="F11" t="n">
        <v>1210</v>
      </c>
      <c r="G11" t="n">
        <v>1310</v>
      </c>
      <c r="H11" t="n">
        <v>1410</v>
      </c>
      <c r="I11" t="n">
        <v>1510</v>
      </c>
      <c r="J11" t="n">
        <v>1610</v>
      </c>
      <c r="K11" t="n">
        <v>1710</v>
      </c>
      <c r="L11" t="n">
        <v>1810</v>
      </c>
      <c r="M11" t="n">
        <v>1910</v>
      </c>
    </row>
    <row r="12">
      <c r="A12" t="n">
        <v>711</v>
      </c>
      <c r="B12" t="n">
        <v>811</v>
      </c>
      <c r="C12" t="n">
        <v>911</v>
      </c>
      <c r="D12" t="n">
        <v>1011</v>
      </c>
      <c r="E12" t="n">
        <v>1111</v>
      </c>
      <c r="F12" t="n">
        <v>1211</v>
      </c>
      <c r="G12" t="n">
        <v>1311</v>
      </c>
      <c r="H12" t="n">
        <v>1411</v>
      </c>
      <c r="I12" t="n">
        <v>1511</v>
      </c>
      <c r="J12" t="n">
        <v>1611</v>
      </c>
      <c r="K12" t="n">
        <v>1711</v>
      </c>
      <c r="L12" t="n">
        <v>1811</v>
      </c>
      <c r="M12" t="n">
        <v>1911</v>
      </c>
    </row>
    <row r="13">
      <c r="A13" t="n">
        <v>712</v>
      </c>
      <c r="B13" t="n">
        <v>812</v>
      </c>
      <c r="C13" t="n">
        <v>912</v>
      </c>
      <c r="D13" t="n">
        <v>1012</v>
      </c>
      <c r="E13" t="n">
        <v>1112</v>
      </c>
      <c r="F13" t="n">
        <v>1212</v>
      </c>
      <c r="G13" t="n">
        <v>1312</v>
      </c>
      <c r="H13" t="n">
        <v>1412</v>
      </c>
      <c r="I13" t="n">
        <v>1512</v>
      </c>
      <c r="J13" t="n">
        <v>1612</v>
      </c>
      <c r="K13" t="n">
        <v>1712</v>
      </c>
      <c r="L13" t="n">
        <v>1812</v>
      </c>
      <c r="M13" t="n">
        <v>1912</v>
      </c>
    </row>
    <row r="14">
      <c r="A14" t="n">
        <v>713</v>
      </c>
      <c r="B14" t="n">
        <v>813</v>
      </c>
      <c r="C14" t="n">
        <v>913</v>
      </c>
      <c r="D14" t="n">
        <v>1013</v>
      </c>
      <c r="E14" t="n">
        <v>1113</v>
      </c>
      <c r="F14" t="n">
        <v>1213</v>
      </c>
      <c r="G14" t="n">
        <v>1313</v>
      </c>
      <c r="H14" t="n">
        <v>1413</v>
      </c>
      <c r="I14" t="n">
        <v>1513</v>
      </c>
      <c r="J14" t="n">
        <v>1613</v>
      </c>
      <c r="K14" t="n">
        <v>1713</v>
      </c>
      <c r="L14" t="n">
        <v>1813</v>
      </c>
      <c r="M14" t="n">
        <v>1913</v>
      </c>
    </row>
    <row r="15">
      <c r="A15" t="n">
        <v>714</v>
      </c>
      <c r="B15" t="n">
        <v>814</v>
      </c>
      <c r="C15" t="n">
        <v>914</v>
      </c>
      <c r="D15" t="n">
        <v>1014</v>
      </c>
      <c r="E15" t="n">
        <v>1114</v>
      </c>
      <c r="F15" t="n">
        <v>1214</v>
      </c>
      <c r="G15" t="n">
        <v>1314</v>
      </c>
      <c r="H15" t="n">
        <v>1414</v>
      </c>
      <c r="I15" t="n">
        <v>1514</v>
      </c>
      <c r="J15" t="n">
        <v>1614</v>
      </c>
      <c r="K15" t="n">
        <v>1714</v>
      </c>
      <c r="L15" t="n">
        <v>1814</v>
      </c>
      <c r="M15" t="n">
        <v>1914</v>
      </c>
    </row>
    <row r="16">
      <c r="A16" t="n">
        <v>715</v>
      </c>
      <c r="B16" t="n">
        <v>815</v>
      </c>
      <c r="C16" t="n">
        <v>915</v>
      </c>
      <c r="D16" t="n">
        <v>1015</v>
      </c>
      <c r="E16" t="n">
        <v>1115</v>
      </c>
      <c r="F16" t="n">
        <v>1215</v>
      </c>
      <c r="G16" t="n">
        <v>1315</v>
      </c>
      <c r="H16" t="n">
        <v>1415</v>
      </c>
      <c r="I16" t="n">
        <v>1515</v>
      </c>
      <c r="J16" t="n">
        <v>1615</v>
      </c>
      <c r="K16" t="n">
        <v>1715</v>
      </c>
      <c r="L16" t="n">
        <v>1815</v>
      </c>
      <c r="M16" t="n">
        <v>1915</v>
      </c>
    </row>
    <row r="17">
      <c r="A17" t="n">
        <v>716</v>
      </c>
      <c r="B17" t="n">
        <v>816</v>
      </c>
      <c r="C17" t="n">
        <v>916</v>
      </c>
      <c r="D17" t="n">
        <v>1016</v>
      </c>
      <c r="E17" t="n">
        <v>1116</v>
      </c>
      <c r="F17" t="n">
        <v>1216</v>
      </c>
      <c r="G17" t="n">
        <v>1316</v>
      </c>
      <c r="H17" t="n">
        <v>1416</v>
      </c>
      <c r="I17" t="n">
        <v>1516</v>
      </c>
      <c r="J17" t="n">
        <v>1616</v>
      </c>
      <c r="K17" t="n">
        <v>1716</v>
      </c>
      <c r="L17" t="n">
        <v>1816</v>
      </c>
      <c r="M17" t="n">
        <v>1916</v>
      </c>
    </row>
    <row r="18">
      <c r="A18" t="n">
        <v>717</v>
      </c>
      <c r="B18" t="n">
        <v>817</v>
      </c>
      <c r="C18" t="n">
        <v>917</v>
      </c>
      <c r="D18" t="n">
        <v>1017</v>
      </c>
      <c r="E18" t="n">
        <v>1117</v>
      </c>
      <c r="F18" t="n">
        <v>1217</v>
      </c>
      <c r="G18" t="n">
        <v>1317</v>
      </c>
      <c r="H18" t="n">
        <v>1417</v>
      </c>
      <c r="I18" t="n">
        <v>1517</v>
      </c>
      <c r="J18" t="n">
        <v>1617</v>
      </c>
      <c r="K18" t="n">
        <v>1717</v>
      </c>
      <c r="L18" t="n">
        <v>1817</v>
      </c>
      <c r="M18" t="n">
        <v>1917</v>
      </c>
    </row>
    <row r="19">
      <c r="A19" t="n">
        <v>718</v>
      </c>
      <c r="B19" t="n">
        <v>818</v>
      </c>
      <c r="C19" t="n">
        <v>918</v>
      </c>
      <c r="D19" t="n">
        <v>1018</v>
      </c>
      <c r="E19" t="n">
        <v>1118</v>
      </c>
      <c r="F19" t="n">
        <v>1218</v>
      </c>
      <c r="G19" t="n">
        <v>1318</v>
      </c>
      <c r="H19" t="n">
        <v>1418</v>
      </c>
      <c r="I19" t="n">
        <v>1518</v>
      </c>
      <c r="J19" t="n">
        <v>1618</v>
      </c>
      <c r="K19" t="n">
        <v>1718</v>
      </c>
      <c r="L19" t="n">
        <v>1818</v>
      </c>
      <c r="M19" t="n">
        <v>1918</v>
      </c>
    </row>
    <row r="20">
      <c r="A20" t="n">
        <v>719</v>
      </c>
      <c r="B20" t="n">
        <v>819</v>
      </c>
      <c r="C20" t="n">
        <v>919</v>
      </c>
      <c r="D20" t="n">
        <v>1019</v>
      </c>
      <c r="E20" t="n">
        <v>1119</v>
      </c>
      <c r="F20" t="n">
        <v>1219</v>
      </c>
      <c r="G20" t="n">
        <v>1319</v>
      </c>
      <c r="H20" t="n">
        <v>1419</v>
      </c>
      <c r="I20" t="n">
        <v>1519</v>
      </c>
      <c r="J20" t="n">
        <v>1619</v>
      </c>
      <c r="K20" t="n">
        <v>1719</v>
      </c>
      <c r="L20" t="n">
        <v>1819</v>
      </c>
      <c r="M20" t="n">
        <v>1919</v>
      </c>
    </row>
    <row r="21">
      <c r="A21" t="n">
        <v>720</v>
      </c>
      <c r="B21" t="n">
        <v>820</v>
      </c>
      <c r="C21" t="n">
        <v>920</v>
      </c>
      <c r="D21" t="n">
        <v>1020</v>
      </c>
      <c r="E21" t="n">
        <v>1120</v>
      </c>
      <c r="F21" t="n">
        <v>1220</v>
      </c>
      <c r="G21" t="n">
        <v>1320</v>
      </c>
      <c r="H21" t="n">
        <v>1420</v>
      </c>
      <c r="I21" t="n">
        <v>1520</v>
      </c>
      <c r="J21" t="n">
        <v>1620</v>
      </c>
      <c r="K21" t="n">
        <v>1720</v>
      </c>
      <c r="L21" t="n">
        <v>1820</v>
      </c>
      <c r="M21" t="n">
        <v>1920</v>
      </c>
    </row>
    <row r="22">
      <c r="A22" t="n">
        <v>721</v>
      </c>
      <c r="B22" t="n">
        <v>821</v>
      </c>
      <c r="C22" t="n">
        <v>921</v>
      </c>
      <c r="D22" t="n">
        <v>1021</v>
      </c>
      <c r="E22" t="n">
        <v>1121</v>
      </c>
      <c r="F22" t="n">
        <v>1221</v>
      </c>
      <c r="G22" t="n">
        <v>1321</v>
      </c>
      <c r="H22" t="n">
        <v>1421</v>
      </c>
      <c r="I22" t="n">
        <v>1521</v>
      </c>
      <c r="J22" t="n">
        <v>1621</v>
      </c>
      <c r="K22" t="n">
        <v>1721</v>
      </c>
      <c r="L22" t="n">
        <v>1821</v>
      </c>
      <c r="M22" t="n">
        <v>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tabSelected="1" workbookViewId="0">
      <selection activeCell="C19" sqref="C19"/>
    </sheetView>
  </sheetViews>
  <sheetFormatPr baseColWidth="8" defaultRowHeight="14.25"/>
  <cols>
    <col width="19.33203125" customWidth="1" min="2" max="2"/>
    <col width="18.46484375" customWidth="1" min="3" max="3"/>
  </cols>
  <sheetData>
    <row r="1">
      <c r="A1" t="inlineStr">
        <is>
          <t>RA Name</t>
        </is>
      </c>
      <c r="B1" t="inlineStr">
        <is>
          <t>phone number</t>
        </is>
      </c>
      <c r="C1" t="inlineStr">
        <is>
          <t>room</t>
        </is>
      </c>
    </row>
    <row r="2">
      <c r="A2" t="inlineStr">
        <is>
          <t>Alex</t>
        </is>
      </c>
      <c r="B2" t="n">
        <v>17826410444</v>
      </c>
      <c r="C2" s="1">
        <f t="array" ref="C2:X2">_xlfn.TAKE(TRANSPOSE(_xlfn._xlws.FILTER(IF(Sched!B23:L23="Alex", Sched!B23:L44, Sched!B1:L44), (Sched!B1:L1="Alex") + (Sched!B23:L23="Alex"))), , 22)</f>
        <v/>
      </c>
      <c r="D2" t="n">
        <v>1808</v>
      </c>
      <c r="E2" t="n">
        <v>1821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1814</v>
      </c>
    </row>
    <row r="3">
      <c r="A3" t="inlineStr">
        <is>
          <t>Gowri</t>
        </is>
      </c>
      <c r="B3" t="n">
        <v>19029891436</v>
      </c>
      <c r="C3" s="1">
        <f t="array" ref="C3:X3">_xlfn.TAKE(TRANSPOSE(_xlfn._xlws.FILTER(Sched!B1:L44,Sched!B1:L1="Gowri")),, 22)</f>
        <v/>
      </c>
      <c r="D3" t="n">
        <v>711</v>
      </c>
      <c r="E3" t="n">
        <v>712</v>
      </c>
      <c r="F3" t="n">
        <v>715</v>
      </c>
      <c r="G3" t="n">
        <v>717</v>
      </c>
      <c r="H3" t="n">
        <v>0</v>
      </c>
      <c r="I3" t="n">
        <v>0</v>
      </c>
      <c r="J3" t="n">
        <v>1111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721</v>
      </c>
    </row>
    <row r="4">
      <c r="A4" t="inlineStr">
        <is>
          <t>Duygu</t>
        </is>
      </c>
      <c r="B4" t="n">
        <v>345243113</v>
      </c>
      <c r="C4">
        <f t="array" ref="C4:X4">_xlfn.TAKE(TRANSPOSE(_xlfn._xlws.FILTER(IF(Sched!B23:L23="Duygu", Sched!B23:L44, Sched!B1:L44), (Sched!B1:L1="Duygu") + (Sched!B23:L23="Duygu"))), , 22)</f>
        <v/>
      </c>
      <c r="D4" t="n">
        <v>802</v>
      </c>
      <c r="E4" t="n">
        <v>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806</v>
      </c>
    </row>
    <row r="5">
      <c r="A5" t="inlineStr">
        <is>
          <t>Jude</t>
        </is>
      </c>
      <c r="B5" t="n">
        <v>234</v>
      </c>
      <c r="C5">
        <f t="array" ref="C5:X5">_xlfn.TAKE(TRANSPOSE(_xlfn._xlws.FILTER(IF(Sched!B23:L23="Jude", Sched!B23:L44, Sched!B1:L44), (Sched!B1:L1="Jude") + (Sched!B23:L23="Jude"))), , 22)</f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1121</v>
      </c>
    </row>
    <row r="6">
      <c r="A6" t="inlineStr">
        <is>
          <t>Uma</t>
        </is>
      </c>
      <c r="B6" t="n">
        <v>78</v>
      </c>
      <c r="C6">
        <f t="array" ref="C6:X6">_xlfn.TAKE(TRANSPOSE(_xlfn._xlws.FILTER(IF(Sched!B23:L23="Uma", Sched!B23:L44, Sched!B1:L44), (Sched!B1:L1="Uma") + (Sched!B23:L23="Uma"))), , 22)</f>
        <v/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Justine</t>
        </is>
      </c>
      <c r="B7" t="n">
        <v>87665</v>
      </c>
      <c r="C7">
        <f t="array" ref="C7:X7">_xlfn.TAKE(TRANSPOSE(_xlfn._xlws.FILTER(IF(Sched!B23:L23="Justine", Sched!B23:L44, Sched!B1:L44), (Sched!B1:L1="Justine") + (Sched!B23:L23="Justine"))), , 22)</f>
        <v/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Apsara</t>
        </is>
      </c>
      <c r="B8" t="n">
        <v>123221</v>
      </c>
      <c r="C8">
        <f t="array" ref="C8:X8">_xlfn.TAKE(TRANSPOSE(_xlfn._xlws.FILTER(IF(Sched!B23:L23="Apsara", Sched!B23:L44, Sched!B1:L44), (Sched!B1:L1="Apsara") + (Sched!B23:L23="Apsara"))), , 22)</f>
        <v/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Hannia</t>
        </is>
      </c>
      <c r="B9" t="n">
        <v>99776</v>
      </c>
      <c r="C9">
        <f t="array" ref="C9:X9">_xlfn.TAKE(TRANSPOSE(_xlfn._xlws.FILTER(IF(Sched!B23:L23="Hannia", Sched!B23:L44, Sched!B1:L44), (Sched!B1:L1="Hannia") + (Sched!B23:L23="Hannia"))), , 22)</f>
        <v/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Balley</t>
        </is>
      </c>
      <c r="B10" t="n">
        <v>112234</v>
      </c>
      <c r="C10">
        <f t="array" ref="C10:X10">_xlfn.TAKE(TRANSPOSE(_xlfn._xlws.FILTER(IF(Sched!B23:L23="Balley", Sched!B23:L44, Sched!B1:L44), (Sched!B1:L1="Balley") + (Sched!B23:L23="Balley"))), , 22)</f>
        <v/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Kalpana</t>
        </is>
      </c>
      <c r="B11" t="n">
        <v>9789731</v>
      </c>
      <c r="C11">
        <f t="array" ref="C11:X11">_xlfn.TAKE(TRANSPOSE(_xlfn._xlws.FILTER(IF(Sched!B23:L23="Kalpana", Sched!B23:L44, Sched!B1:L44), (Sched!B1:L1="Kalpana") + (Sched!B23:L23="Kalpana"))), , 22)</f>
        <v/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Gustavo</t>
        </is>
      </c>
      <c r="B12" t="n">
        <v>323445632</v>
      </c>
      <c r="C12">
        <f t="array" ref="C12:X12">_xlfn.TAKE(TRANSPOSE(_xlfn._xlws.FILTER(IF(Sched!B23:L23="Gustavo", Sched!B23:L44, Sched!B1:L44), (Sched!B1:L1="Gustavo") + (Sched!B23:L23="Gustavo"))), , 22)</f>
        <v/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Anu</t>
        </is>
      </c>
      <c r="B13" t="n">
        <v>68645736</v>
      </c>
      <c r="C13">
        <f t="array" ref="C13:X13">_xlfn.TAKE(TRANSPOSE(_xlfn._xlws.FILTER(IF(Sched!B23:L23="Anu", Sched!B23:L44, Sched!B1:L44), (Sched!B1:L1="Anu") + (Sched!B23:L23="Anu"))), , 22)</f>
        <v/>
      </c>
      <c r="D13" t="n">
        <v>811</v>
      </c>
      <c r="E13" t="n">
        <v>812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zoomScale="115" zoomScaleNormal="115" workbookViewId="0">
      <selection activeCell="G14" sqref="G14"/>
    </sheetView>
  </sheetViews>
  <sheetFormatPr baseColWidth="8" defaultRowHeight="14.25"/>
  <sheetData>
    <row r="1">
      <c r="B1" t="inlineStr">
        <is>
          <t>Gowri</t>
        </is>
      </c>
      <c r="C1" t="inlineStr">
        <is>
          <t>Duygu</t>
        </is>
      </c>
      <c r="D1" t="inlineStr">
        <is>
          <t>Anu</t>
        </is>
      </c>
      <c r="E1" t="inlineStr">
        <is>
          <t>Justine</t>
        </is>
      </c>
      <c r="F1" t="inlineStr">
        <is>
          <t>Apsara</t>
        </is>
      </c>
      <c r="G1" t="inlineStr">
        <is>
          <t>Alex</t>
        </is>
      </c>
      <c r="H1" t="inlineStr">
        <is>
          <t>Barsha</t>
        </is>
      </c>
      <c r="I1" t="inlineStr">
        <is>
          <t>Balley</t>
        </is>
      </c>
      <c r="J1" t="inlineStr">
        <is>
          <t>Uma</t>
        </is>
      </c>
      <c r="K1" t="inlineStr">
        <is>
          <t>Kalpana</t>
        </is>
      </c>
      <c r="L1" t="inlineStr">
        <is>
          <t>Darman</t>
        </is>
      </c>
    </row>
    <row r="2">
      <c r="A2" t="n">
        <v>1</v>
      </c>
      <c r="B2" t="n">
        <v>711</v>
      </c>
      <c r="C2" t="n">
        <v>802</v>
      </c>
      <c r="D2" t="n">
        <v>811</v>
      </c>
      <c r="G2" t="n">
        <v>1808</v>
      </c>
    </row>
    <row r="3">
      <c r="A3" t="n">
        <v>2</v>
      </c>
      <c r="B3" t="n">
        <v>712</v>
      </c>
      <c r="C3" t="n">
        <v>803</v>
      </c>
      <c r="D3" t="n">
        <v>812</v>
      </c>
      <c r="G3" t="n">
        <v>1821</v>
      </c>
    </row>
    <row r="4">
      <c r="A4" t="n">
        <v>3</v>
      </c>
      <c r="B4" t="n">
        <v>715</v>
      </c>
    </row>
    <row r="5">
      <c r="A5" t="n">
        <v>4</v>
      </c>
      <c r="B5" t="n">
        <v>717</v>
      </c>
    </row>
    <row r="6">
      <c r="A6" t="n">
        <v>5</v>
      </c>
    </row>
    <row r="7">
      <c r="A7" t="n">
        <v>6</v>
      </c>
    </row>
    <row r="8">
      <c r="A8" t="n">
        <v>7</v>
      </c>
      <c r="B8" t="n">
        <v>1111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  <c r="C12" t="n">
        <v>810</v>
      </c>
      <c r="D12" t="n">
        <v>820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  <c r="B22" t="n">
        <v>721</v>
      </c>
      <c r="C22" t="n">
        <v>806</v>
      </c>
      <c r="D22" t="n">
        <v>907</v>
      </c>
      <c r="G22" t="n">
        <v>1814</v>
      </c>
    </row>
    <row r="23">
      <c r="B23" t="inlineStr">
        <is>
          <t>Jude</t>
        </is>
      </c>
      <c r="C23" t="inlineStr">
        <is>
          <t>Jacky</t>
        </is>
      </c>
      <c r="D23" t="inlineStr">
        <is>
          <t>Gustavo</t>
        </is>
      </c>
      <c r="E23" t="inlineStr">
        <is>
          <t>Rover</t>
        </is>
      </c>
      <c r="F23" t="inlineStr">
        <is>
          <t>Hannia</t>
        </is>
      </c>
    </row>
    <row r="24">
      <c r="A24" t="n">
        <v>1</v>
      </c>
    </row>
    <row r="25">
      <c r="A25" t="n">
        <v>2</v>
      </c>
    </row>
    <row r="26">
      <c r="A26" t="n">
        <v>3</v>
      </c>
    </row>
    <row r="27">
      <c r="A27" t="n">
        <v>4</v>
      </c>
    </row>
    <row r="28">
      <c r="A28" t="n">
        <v>5</v>
      </c>
    </row>
    <row r="29">
      <c r="A29" t="n">
        <v>6</v>
      </c>
    </row>
    <row r="30">
      <c r="A30" t="n">
        <v>7</v>
      </c>
    </row>
    <row r="31">
      <c r="A31" t="n">
        <v>8</v>
      </c>
    </row>
    <row r="32">
      <c r="A32" t="n">
        <v>9</v>
      </c>
    </row>
    <row r="33">
      <c r="A33" t="n">
        <v>10</v>
      </c>
    </row>
    <row r="34">
      <c r="A34" t="n">
        <v>11</v>
      </c>
    </row>
    <row r="35">
      <c r="A35" t="n">
        <v>12</v>
      </c>
    </row>
    <row r="36">
      <c r="A36" t="n">
        <v>13</v>
      </c>
    </row>
    <row r="37">
      <c r="A37" t="n">
        <v>14</v>
      </c>
    </row>
    <row r="38">
      <c r="A38" t="n">
        <v>15</v>
      </c>
    </row>
    <row r="39">
      <c r="A39" t="n">
        <v>16</v>
      </c>
    </row>
    <row r="40">
      <c r="A40" t="n">
        <v>17</v>
      </c>
    </row>
    <row r="41">
      <c r="A41" t="n">
        <v>18</v>
      </c>
    </row>
    <row r="42">
      <c r="A42" t="n">
        <v>19</v>
      </c>
    </row>
    <row r="43">
      <c r="A43" t="n">
        <v>20</v>
      </c>
    </row>
    <row r="44">
      <c r="A44" t="n">
        <v>21</v>
      </c>
      <c r="B44" t="n">
        <v>1121</v>
      </c>
    </row>
  </sheetData>
  <conditionalFormatting sqref="B1:L44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yung</dc:creator>
  <dcterms:created xsi:type="dcterms:W3CDTF">2015-06-05T18:17:20Z</dcterms:created>
  <dcterms:modified xsi:type="dcterms:W3CDTF">2026-05-27T15:02:16Z</dcterms:modified>
  <cp:lastModifiedBy>alex yung</cp:lastModifiedBy>
</cp:coreProperties>
</file>